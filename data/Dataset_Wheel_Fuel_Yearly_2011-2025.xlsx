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obteter/Desktop/ETERC/TDCI/Data/India/Vahan/"/>
    </mc:Choice>
  </mc:AlternateContent>
  <xr:revisionPtr revIDLastSave="0" documentId="13_ncr:1_{A31CEFC3-CEEB-E340-A723-59585493512B}" xr6:coauthVersionLast="47" xr6:coauthVersionMax="47" xr10:uidLastSave="{00000000-0000-0000-0000-000000000000}"/>
  <bookViews>
    <workbookView xWindow="-37140" yWindow="1700" windowWidth="33040" windowHeight="17280" activeTab="1" xr2:uid="{7184614B-3119-4D71-977B-18E211580474}"/>
  </bookViews>
  <sheets>
    <sheet name="Classification" sheetId="1" r:id="rId1"/>
    <sheet name="FY2011-2025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" i="2" l="1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P11" i="2"/>
</calcChain>
</file>

<file path=xl/sharedStrings.xml><?xml version="1.0" encoding="utf-8"?>
<sst xmlns="http://schemas.openxmlformats.org/spreadsheetml/2006/main" count="111" uniqueCount="57">
  <si>
    <t>Class</t>
  </si>
  <si>
    <t>Vahan Filter</t>
  </si>
  <si>
    <t>2W</t>
  </si>
  <si>
    <t>Two Wheeler (Invalid Carriage)</t>
  </si>
  <si>
    <t>Two Wheeler (NT)</t>
  </si>
  <si>
    <t>Two Wheeler (T)</t>
  </si>
  <si>
    <t>Three Wheeler (Passenger)</t>
  </si>
  <si>
    <t>Three Wheeler (Personal)</t>
  </si>
  <si>
    <t>Three Wheeler (Goods)</t>
  </si>
  <si>
    <t>Cars</t>
  </si>
  <si>
    <t>Luxury Cab</t>
  </si>
  <si>
    <t>Maxi Cab</t>
  </si>
  <si>
    <t>Motor Cab</t>
  </si>
  <si>
    <t>Motor Car</t>
  </si>
  <si>
    <t>Bus</t>
  </si>
  <si>
    <t>School Bus</t>
  </si>
  <si>
    <t>Omni Bus</t>
  </si>
  <si>
    <t>Omni Bus (Private Bus)</t>
  </si>
  <si>
    <t>Educational Institutional Bus</t>
  </si>
  <si>
    <t xml:space="preserve">LGV </t>
  </si>
  <si>
    <t>MGV</t>
  </si>
  <si>
    <t>HGV</t>
  </si>
  <si>
    <t>Others</t>
  </si>
  <si>
    <t>Everything not included above (Adapted vehicle, Agriculture Tractor, Ambulance, Animal Ambulance, Armoured/ Specialised vehicle, Articulated vehicle, Auxillary trailer,  Breakdown van, bulldozer, camper van/trailer, cash van, construction equipment, crane mounted vehicle, dumper, earth moving equiment, excavator (commercial), excavator (nt), fire fighting vehicle, fire tender, fork lift, harvester, hearses etc.)</t>
  </si>
  <si>
    <t>FY2011</t>
  </si>
  <si>
    <t>FY2012</t>
  </si>
  <si>
    <t>FY2013</t>
  </si>
  <si>
    <t>FY2014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</si>
  <si>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</si>
  <si>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</si>
  <si>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</si>
  <si>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</si>
  <si>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</si>
  <si>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</si>
  <si>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</si>
  <si>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</si>
  <si>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</si>
  <si>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</si>
  <si>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</si>
  <si>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Total</t>
  </si>
  <si>
    <t>EV</t>
  </si>
  <si>
    <t>Petrol</t>
  </si>
  <si>
    <t>Diesel</t>
  </si>
  <si>
    <t>Petrol/CNG</t>
  </si>
  <si>
    <t>CNG</t>
  </si>
  <si>
    <t>3W Passenger</t>
  </si>
  <si>
    <t>3W Goods</t>
  </si>
  <si>
    <t>Category LGV Class Goods Carrier ( up to 7.5T)</t>
  </si>
  <si>
    <t>Category MGV Class Goods Carrier (7.5-12T)</t>
  </si>
  <si>
    <t>Category HGV Class Goods Carrier (&gt;12T)</t>
  </si>
  <si>
    <t>Source: Vahan dashboard, MoRTH</t>
  </si>
  <si>
    <t>All vehicles</t>
  </si>
  <si>
    <t>LGV (up to 7/5 tonnes)</t>
  </si>
  <si>
    <t>MGV (7.5-12 tonnes)</t>
  </si>
  <si>
    <t>HGV (&gt;12 tonnes)</t>
  </si>
  <si>
    <t>Category</t>
  </si>
  <si>
    <t>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</si>
</sst>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0" borderId="2" xfId="0" applyBorder="1"/>
    <xf numFmtId="0" fontId="0" fillId="3" borderId="3" xfId="0" applyFill="1" applyBorder="1"/>
    <xf numFmtId="0" fontId="0" fillId="4" borderId="4" xfId="1" applyNumberFormat="1" applyFont="1" applyFill="1" applyBorder="1"/>
    <xf numFmtId="0" fontId="0" fillId="2" borderId="4" xfId="1" applyNumberFormat="1" applyFont="1" applyFill="1" applyBorder="1"/>
    <xf numFmtId="0" fontId="2" fillId="2" borderId="4" xfId="1" applyNumberFormat="1" applyFont="1" applyFill="1" applyBorder="1"/>
    <xf numFmtId="0" fontId="2" fillId="4" borderId="4" xfId="1" applyNumberFormat="1" applyFont="1" applyFill="1" applyBorder="1"/>
    <xf numFmtId="0" fontId="2" fillId="4" borderId="4" xfId="1" applyNumberFormat="1" applyFont="1" applyFill="1" applyBorder="1" applyAlignment="1">
      <alignment horizontal="center"/>
    </xf>
    <xf numFmtId="0" fontId="2" fillId="0" borderId="0" xfId="1" applyNumberFormat="1" applyFont="1" applyFill="1" applyBorder="1"/>
    <xf numFmtId="0" fontId="0" fillId="0" borderId="0" xfId="1" applyNumberFormat="1" applyFont="1" applyFill="1" applyBorder="1"/>
    <xf numFmtId="0" fontId="2" fillId="2" borderId="5" xfId="1" applyNumberFormat="1" applyFont="1" applyFill="1" applyBorder="1"/>
    <xf numFmtId="0" fontId="0" fillId="2" borderId="5" xfId="1" applyNumberFormat="1" applyFont="1" applyFill="1" applyBorder="1"/>
    <xf numFmtId="0" fontId="2" fillId="4" borderId="6" xfId="1" applyNumberFormat="1" applyFont="1" applyFill="1" applyBorder="1"/>
    <xf numFmtId="0" fontId="0" fillId="4" borderId="6" xfId="1" applyNumberFormat="1" applyFont="1" applyFill="1" applyBorder="1"/>
    <xf numFmtId="0" fontId="2" fillId="4" borderId="7" xfId="1" applyNumberFormat="1" applyFont="1" applyFill="1" applyBorder="1" applyAlignment="1">
      <alignment horizontal="center"/>
    </xf>
    <xf numFmtId="0" fontId="0" fillId="2" borderId="7" xfId="1" applyNumberFormat="1" applyFont="1" applyFill="1" applyBorder="1"/>
    <xf numFmtId="0" fontId="0" fillId="2" borderId="8" xfId="1" applyNumberFormat="1" applyFont="1" applyFill="1" applyBorder="1"/>
    <xf numFmtId="0" fontId="0" fillId="4" borderId="7" xfId="1" applyNumberFormat="1" applyFont="1" applyFill="1" applyBorder="1"/>
    <xf numFmtId="0" fontId="0" fillId="4" borderId="9" xfId="1" applyNumberFormat="1" applyFont="1" applyFill="1" applyBorder="1"/>
    <xf numFmtId="1" fontId="0" fillId="2" borderId="7" xfId="1" applyNumberFormat="1" applyFont="1" applyFill="1" applyBorder="1"/>
    <xf numFmtId="3" fontId="0" fillId="4" borderId="7" xfId="1" applyNumberFormat="1" applyFont="1" applyFill="1" applyBorder="1"/>
    <xf numFmtId="3" fontId="0" fillId="2" borderId="7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cdavis365-my.sharepoint.com/personal/rpalia_ucdavis_edu/Documents/UC%20Davis/Raw%20files/100%25/FY2024%20Fuel%20wise.xlsx" TargetMode="External"/><Relationship Id="rId1" Type="http://schemas.openxmlformats.org/officeDocument/2006/relationships/externalLinkPath" Target="https://ucdavis365-my.sharepoint.com/personal/rladha_ucdavis_edu/Documents/Miscellaneous/Raw%20files/100%25/FY2024%20Fuel%20wi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2024"/>
      <sheetName val="Sheet2"/>
      <sheetName val="reportTable"/>
      <sheetName val="Sheet1"/>
    </sheetNames>
    <sheetDataSet>
      <sheetData sheetId="0">
        <row r="4">
          <cell r="H4">
            <v>16578332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E582-FB22-4ABC-B2AD-6C2C00919B38}">
  <dimension ref="A1:B20"/>
  <sheetViews>
    <sheetView workbookViewId="0">
      <selection activeCell="B20" sqref="B20"/>
    </sheetView>
  </sheetViews>
  <sheetFormatPr baseColWidth="10" defaultColWidth="8.83203125" defaultRowHeight="15" x14ac:dyDescent="0.2"/>
  <cols>
    <col min="1" max="1" width="11.83203125" bestFit="1" customWidth="1"/>
    <col min="2" max="2" width="20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/>
      <c r="B3" s="2" t="s">
        <v>4</v>
      </c>
    </row>
    <row r="4" spans="1:2" x14ac:dyDescent="0.2">
      <c r="A4" s="2"/>
      <c r="B4" s="2" t="s">
        <v>5</v>
      </c>
    </row>
    <row r="5" spans="1:2" x14ac:dyDescent="0.2">
      <c r="A5" s="2" t="s">
        <v>45</v>
      </c>
      <c r="B5" s="2" t="s">
        <v>6</v>
      </c>
    </row>
    <row r="6" spans="1:2" x14ac:dyDescent="0.2">
      <c r="A6" s="2"/>
      <c r="B6" s="2" t="s">
        <v>7</v>
      </c>
    </row>
    <row r="7" spans="1:2" x14ac:dyDescent="0.2">
      <c r="A7" s="2" t="s">
        <v>46</v>
      </c>
      <c r="B7" s="2" t="s">
        <v>8</v>
      </c>
    </row>
    <row r="8" spans="1:2" x14ac:dyDescent="0.2">
      <c r="A8" s="2" t="s">
        <v>9</v>
      </c>
      <c r="B8" s="2" t="s">
        <v>10</v>
      </c>
    </row>
    <row r="9" spans="1:2" x14ac:dyDescent="0.2">
      <c r="A9" s="2"/>
      <c r="B9" s="2" t="s">
        <v>11</v>
      </c>
    </row>
    <row r="10" spans="1:2" x14ac:dyDescent="0.2">
      <c r="A10" s="2"/>
      <c r="B10" s="2" t="s">
        <v>12</v>
      </c>
    </row>
    <row r="11" spans="1:2" x14ac:dyDescent="0.2">
      <c r="A11" s="2"/>
      <c r="B11" s="2" t="s">
        <v>13</v>
      </c>
    </row>
    <row r="12" spans="1:2" x14ac:dyDescent="0.2">
      <c r="A12" s="2" t="s">
        <v>14</v>
      </c>
      <c r="B12" s="2" t="s">
        <v>15</v>
      </c>
    </row>
    <row r="13" spans="1:2" x14ac:dyDescent="0.2">
      <c r="A13" s="2"/>
      <c r="B13" s="2" t="s">
        <v>16</v>
      </c>
    </row>
    <row r="14" spans="1:2" x14ac:dyDescent="0.2">
      <c r="A14" s="2"/>
      <c r="B14" s="2" t="s">
        <v>17</v>
      </c>
    </row>
    <row r="15" spans="1:2" x14ac:dyDescent="0.2">
      <c r="A15" s="2"/>
      <c r="B15" s="2" t="s">
        <v>18</v>
      </c>
    </row>
    <row r="16" spans="1:2" x14ac:dyDescent="0.2">
      <c r="A16" s="2"/>
      <c r="B16" s="2" t="s">
        <v>14</v>
      </c>
    </row>
    <row r="17" spans="1:2" x14ac:dyDescent="0.2">
      <c r="A17" s="2" t="s">
        <v>19</v>
      </c>
      <c r="B17" s="3" t="s">
        <v>47</v>
      </c>
    </row>
    <row r="18" spans="1:2" x14ac:dyDescent="0.2">
      <c r="A18" s="2" t="s">
        <v>20</v>
      </c>
      <c r="B18" s="3" t="s">
        <v>48</v>
      </c>
    </row>
    <row r="19" spans="1:2" x14ac:dyDescent="0.2">
      <c r="A19" s="2" t="s">
        <v>21</v>
      </c>
      <c r="B19" s="3" t="s">
        <v>49</v>
      </c>
    </row>
    <row r="20" spans="1:2" x14ac:dyDescent="0.2">
      <c r="A20" s="4" t="s">
        <v>22</v>
      </c>
      <c r="B20" s="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76FA-3C21-4A39-93CF-0F6E9BA1A76A}">
  <dimension ref="A1:Q37"/>
  <sheetViews>
    <sheetView tabSelected="1" workbookViewId="0">
      <selection activeCell="C8" sqref="C8:Q8"/>
    </sheetView>
  </sheetViews>
  <sheetFormatPr baseColWidth="10" defaultColWidth="8.83203125" defaultRowHeight="15" x14ac:dyDescent="0.2"/>
  <cols>
    <col min="1" max="1" width="25.5" bestFit="1" customWidth="1"/>
    <col min="2" max="2" width="9.83203125" bestFit="1" customWidth="1"/>
    <col min="3" max="17" width="13.6640625" bestFit="1" customWidth="1"/>
  </cols>
  <sheetData>
    <row r="1" spans="1:17" x14ac:dyDescent="0.2">
      <c r="A1" s="6"/>
      <c r="B1" s="6"/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7" t="s">
        <v>38</v>
      </c>
    </row>
    <row r="2" spans="1:17" x14ac:dyDescent="0.2">
      <c r="A2" s="8" t="s">
        <v>51</v>
      </c>
      <c r="B2" s="8" t="s">
        <v>39</v>
      </c>
      <c r="C2" s="7">
        <v>14483963</v>
      </c>
      <c r="D2" s="7">
        <v>16781232</v>
      </c>
      <c r="E2" s="7">
        <v>17506912</v>
      </c>
      <c r="F2" s="7">
        <v>17964752</v>
      </c>
      <c r="G2" s="7">
        <v>19403029</v>
      </c>
      <c r="H2" s="7">
        <v>20122809</v>
      </c>
      <c r="I2" s="7">
        <v>21651768</v>
      </c>
      <c r="J2" s="7">
        <v>23959683</v>
      </c>
      <c r="K2" s="7">
        <v>25317093</v>
      </c>
      <c r="L2" s="7">
        <v>24592926</v>
      </c>
      <c r="M2" s="7">
        <v>17521374</v>
      </c>
      <c r="N2" s="7">
        <v>18445111</v>
      </c>
      <c r="O2" s="7">
        <v>22331887</v>
      </c>
      <c r="P2" s="7">
        <v>24640843</v>
      </c>
      <c r="Q2" s="18">
        <v>26220948</v>
      </c>
    </row>
    <row r="3" spans="1:17" x14ac:dyDescent="0.2">
      <c r="A3" s="8"/>
      <c r="B3" s="8" t="s">
        <v>40</v>
      </c>
      <c r="C3" s="7">
        <v>4904</v>
      </c>
      <c r="D3" s="7">
        <v>7665</v>
      </c>
      <c r="E3" s="7">
        <v>4045</v>
      </c>
      <c r="F3" s="7">
        <v>2634</v>
      </c>
      <c r="G3" s="7">
        <v>2343</v>
      </c>
      <c r="H3" s="7">
        <v>16169</v>
      </c>
      <c r="I3" s="7">
        <v>55844</v>
      </c>
      <c r="J3" s="7">
        <v>96491</v>
      </c>
      <c r="K3" s="7">
        <v>146941</v>
      </c>
      <c r="L3" s="7">
        <v>173613</v>
      </c>
      <c r="M3" s="7">
        <v>142419</v>
      </c>
      <c r="N3" s="7">
        <v>459065</v>
      </c>
      <c r="O3" s="7">
        <v>1183331</v>
      </c>
      <c r="P3" s="7">
        <v>1678063</v>
      </c>
      <c r="Q3" s="18">
        <v>1964831</v>
      </c>
    </row>
    <row r="4" spans="1:17" x14ac:dyDescent="0.2">
      <c r="A4" s="13"/>
      <c r="B4" s="13" t="s">
        <v>41</v>
      </c>
      <c r="C4" s="14">
        <v>11718948</v>
      </c>
      <c r="D4" s="14">
        <v>13504311</v>
      </c>
      <c r="E4" s="14">
        <v>13931829</v>
      </c>
      <c r="F4" s="14">
        <v>14649851</v>
      </c>
      <c r="G4" s="14">
        <v>16090279</v>
      </c>
      <c r="H4" s="14">
        <v>16864546</v>
      </c>
      <c r="I4" s="14">
        <v>18228389</v>
      </c>
      <c r="J4" s="14">
        <v>20231975</v>
      </c>
      <c r="K4" s="14">
        <v>21191006</v>
      </c>
      <c r="L4" s="14">
        <v>20724047</v>
      </c>
      <c r="M4" s="14">
        <v>15081341</v>
      </c>
      <c r="N4" s="14">
        <v>15289445</v>
      </c>
      <c r="O4" s="14">
        <v>17559546</v>
      </c>
      <c r="P4" s="14">
        <v>18353673</v>
      </c>
      <c r="Q4" s="19">
        <v>19169293</v>
      </c>
    </row>
    <row r="5" spans="1:17" x14ac:dyDescent="0.2">
      <c r="A5" s="8"/>
      <c r="B5" s="8" t="s">
        <v>42</v>
      </c>
      <c r="C5" s="7">
        <v>2277069</v>
      </c>
      <c r="D5" s="7">
        <v>2779009</v>
      </c>
      <c r="E5" s="7">
        <v>3128371</v>
      </c>
      <c r="F5" s="7">
        <v>2919775</v>
      </c>
      <c r="G5" s="7">
        <v>2823881</v>
      </c>
      <c r="H5" s="7">
        <v>2734911</v>
      </c>
      <c r="I5" s="7">
        <v>2771274</v>
      </c>
      <c r="J5" s="7">
        <v>2952458</v>
      </c>
      <c r="K5" s="7">
        <v>3165488</v>
      </c>
      <c r="L5" s="7">
        <v>2946133</v>
      </c>
      <c r="M5" s="7">
        <v>1791005</v>
      </c>
      <c r="N5" s="7">
        <v>1972825</v>
      </c>
      <c r="O5" s="7">
        <v>2447274</v>
      </c>
      <c r="P5" s="7">
        <v>2608848</v>
      </c>
      <c r="Q5" s="18">
        <v>2640517</v>
      </c>
    </row>
    <row r="6" spans="1:17" x14ac:dyDescent="0.2">
      <c r="A6" s="11" t="s">
        <v>50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2">
      <c r="A7" s="11"/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x14ac:dyDescent="0.2">
      <c r="A8" s="11" t="s">
        <v>55</v>
      </c>
      <c r="B8" s="11" t="s">
        <v>56</v>
      </c>
      <c r="C8" s="11" t="str">
        <f>C1</f>
        <v>FY2011</v>
      </c>
      <c r="D8" s="11" t="str">
        <f t="shared" ref="D8:Q8" si="0">D1</f>
        <v>FY2012</v>
      </c>
      <c r="E8" s="11" t="str">
        <f t="shared" si="0"/>
        <v>FY2013</v>
      </c>
      <c r="F8" s="11" t="str">
        <f t="shared" si="0"/>
        <v>FY2014</v>
      </c>
      <c r="G8" s="11" t="str">
        <f t="shared" si="0"/>
        <v>FY2015</v>
      </c>
      <c r="H8" s="11" t="str">
        <f t="shared" si="0"/>
        <v>FY2016</v>
      </c>
      <c r="I8" s="11" t="str">
        <f t="shared" si="0"/>
        <v>FY2017</v>
      </c>
      <c r="J8" s="11" t="str">
        <f t="shared" si="0"/>
        <v>FY2018</v>
      </c>
      <c r="K8" s="11" t="str">
        <f t="shared" si="0"/>
        <v>FY2019</v>
      </c>
      <c r="L8" s="11" t="str">
        <f t="shared" si="0"/>
        <v>FY2020</v>
      </c>
      <c r="M8" s="11" t="str">
        <f t="shared" si="0"/>
        <v>FY2021</v>
      </c>
      <c r="N8" s="11" t="str">
        <f t="shared" si="0"/>
        <v>FY2022</v>
      </c>
      <c r="O8" s="11" t="str">
        <f t="shared" si="0"/>
        <v>FY2023</v>
      </c>
      <c r="P8" s="11" t="str">
        <f t="shared" si="0"/>
        <v>FY2024</v>
      </c>
      <c r="Q8" s="11" t="str">
        <f t="shared" si="0"/>
        <v>FY2025</v>
      </c>
    </row>
    <row r="9" spans="1:17" x14ac:dyDescent="0.2">
      <c r="A9" s="9" t="s">
        <v>2</v>
      </c>
      <c r="B9" s="9" t="s">
        <v>39</v>
      </c>
      <c r="C9" s="6">
        <v>10489721</v>
      </c>
      <c r="D9" s="6">
        <v>12378594</v>
      </c>
      <c r="E9" s="6">
        <v>12989261</v>
      </c>
      <c r="F9" s="6">
        <v>13685653</v>
      </c>
      <c r="G9" s="6">
        <v>14961451</v>
      </c>
      <c r="H9" s="6">
        <v>15577836</v>
      </c>
      <c r="I9" s="6">
        <v>16760471</v>
      </c>
      <c r="J9" s="6">
        <v>18542331</v>
      </c>
      <c r="K9" s="6">
        <v>19501119</v>
      </c>
      <c r="L9" s="6">
        <v>20600931</v>
      </c>
      <c r="M9" s="6">
        <v>14279428</v>
      </c>
      <c r="N9" s="6">
        <v>14645293</v>
      </c>
      <c r="O9" s="6">
        <v>21763966</v>
      </c>
      <c r="P9" s="6">
        <v>17550913</v>
      </c>
      <c r="Q9" s="20">
        <v>19551827</v>
      </c>
    </row>
    <row r="10" spans="1:17" x14ac:dyDescent="0.2">
      <c r="A10" s="9" t="s">
        <v>2</v>
      </c>
      <c r="B10" s="15" t="s">
        <v>40</v>
      </c>
      <c r="C10" s="16">
        <v>4068</v>
      </c>
      <c r="D10" s="16">
        <v>6662</v>
      </c>
      <c r="E10" s="16">
        <v>3477</v>
      </c>
      <c r="F10" s="16">
        <v>1895</v>
      </c>
      <c r="G10" s="16">
        <v>1569</v>
      </c>
      <c r="H10" s="16">
        <v>1471</v>
      </c>
      <c r="I10" s="16">
        <v>1394</v>
      </c>
      <c r="J10" s="16">
        <v>2008</v>
      </c>
      <c r="K10" s="16">
        <v>28494</v>
      </c>
      <c r="L10" s="16">
        <v>28147</v>
      </c>
      <c r="M10" s="16">
        <v>49486</v>
      </c>
      <c r="N10" s="16">
        <v>279893</v>
      </c>
      <c r="O10" s="16">
        <v>783373</v>
      </c>
      <c r="P10" s="16">
        <v>1012841</v>
      </c>
      <c r="Q10" s="21">
        <v>1209658</v>
      </c>
    </row>
    <row r="11" spans="1:17" x14ac:dyDescent="0.2">
      <c r="A11" s="9" t="s">
        <v>2</v>
      </c>
      <c r="B11" s="9" t="s">
        <v>41</v>
      </c>
      <c r="C11" s="6">
        <v>10467018</v>
      </c>
      <c r="D11" s="6">
        <v>12355175</v>
      </c>
      <c r="E11" s="6">
        <v>12967756</v>
      </c>
      <c r="F11" s="6">
        <v>13667561</v>
      </c>
      <c r="G11" s="6">
        <v>14934713</v>
      </c>
      <c r="H11" s="6">
        <v>15548753</v>
      </c>
      <c r="I11" s="6">
        <v>16733216</v>
      </c>
      <c r="J11" s="6">
        <v>18531131</v>
      </c>
      <c r="K11" s="6">
        <v>19470481</v>
      </c>
      <c r="L11" s="6">
        <v>19033151</v>
      </c>
      <c r="M11" s="6">
        <v>13220064</v>
      </c>
      <c r="N11" s="6">
        <v>13272505</v>
      </c>
      <c r="O11" s="6">
        <v>15301431</v>
      </c>
      <c r="P11" s="6">
        <f>[1]FY2024!$H$4</f>
        <v>16578332</v>
      </c>
      <c r="Q11" s="20">
        <v>17675236</v>
      </c>
    </row>
    <row r="12" spans="1:17" x14ac:dyDescent="0.2">
      <c r="A12" s="8" t="s">
        <v>45</v>
      </c>
      <c r="B12" s="8" t="s">
        <v>39</v>
      </c>
      <c r="C12" s="7">
        <v>364407</v>
      </c>
      <c r="D12" s="7">
        <v>367666</v>
      </c>
      <c r="E12" s="7">
        <v>408442</v>
      </c>
      <c r="F12" s="7">
        <v>353250</v>
      </c>
      <c r="G12" s="7">
        <v>401805</v>
      </c>
      <c r="H12" s="7">
        <v>395938</v>
      </c>
      <c r="I12" s="7">
        <v>392987</v>
      </c>
      <c r="J12" s="7">
        <v>458359</v>
      </c>
      <c r="K12" s="7">
        <v>534137</v>
      </c>
      <c r="L12" s="7">
        <v>620982</v>
      </c>
      <c r="M12" s="7">
        <v>143051</v>
      </c>
      <c r="N12" s="7">
        <v>188762</v>
      </c>
      <c r="O12" s="7">
        <v>318312</v>
      </c>
      <c r="P12" s="7">
        <v>513627</v>
      </c>
      <c r="Q12" s="18">
        <v>594281</v>
      </c>
    </row>
    <row r="13" spans="1:17" x14ac:dyDescent="0.2">
      <c r="A13" s="8" t="s">
        <v>45</v>
      </c>
      <c r="B13" s="8" t="s">
        <v>40</v>
      </c>
      <c r="C13" s="7">
        <v>19</v>
      </c>
      <c r="D13" s="7">
        <v>28</v>
      </c>
      <c r="E13" s="7">
        <v>17</v>
      </c>
      <c r="F13" s="7">
        <v>23</v>
      </c>
      <c r="G13" s="7">
        <v>10</v>
      </c>
      <c r="H13" s="7">
        <v>590</v>
      </c>
      <c r="I13" s="7">
        <v>1176</v>
      </c>
      <c r="J13" s="7">
        <v>560</v>
      </c>
      <c r="K13" s="7">
        <v>558</v>
      </c>
      <c r="L13" s="7">
        <v>1491</v>
      </c>
      <c r="M13" s="7">
        <v>1667</v>
      </c>
      <c r="N13" s="7">
        <v>5207</v>
      </c>
      <c r="O13" s="7">
        <v>15374</v>
      </c>
      <c r="P13" s="7">
        <v>69923</v>
      </c>
      <c r="Q13" s="18">
        <v>135266</v>
      </c>
    </row>
    <row r="14" spans="1:17" x14ac:dyDescent="0.2">
      <c r="A14" s="8" t="s">
        <v>45</v>
      </c>
      <c r="B14" s="8" t="s">
        <v>42</v>
      </c>
      <c r="C14" s="7">
        <v>218672</v>
      </c>
      <c r="D14" s="7">
        <v>199938</v>
      </c>
      <c r="E14" s="7">
        <v>266284</v>
      </c>
      <c r="F14" s="7">
        <v>232101</v>
      </c>
      <c r="G14" s="7">
        <v>229734</v>
      </c>
      <c r="H14" s="7">
        <v>222243</v>
      </c>
      <c r="I14" s="7">
        <v>206240</v>
      </c>
      <c r="J14" s="7">
        <v>189358</v>
      </c>
      <c r="K14" s="7">
        <v>212313</v>
      </c>
      <c r="L14" s="7">
        <v>252799</v>
      </c>
      <c r="M14" s="7">
        <v>58844</v>
      </c>
      <c r="N14" s="7">
        <v>34482</v>
      </c>
      <c r="O14" s="7">
        <v>51450</v>
      </c>
      <c r="P14" s="7">
        <v>72759</v>
      </c>
      <c r="Q14" s="18">
        <v>74204</v>
      </c>
    </row>
    <row r="15" spans="1:17" x14ac:dyDescent="0.2">
      <c r="A15" s="8" t="s">
        <v>45</v>
      </c>
      <c r="B15" s="8" t="s">
        <v>43</v>
      </c>
      <c r="C15" s="7">
        <v>39917</v>
      </c>
      <c r="D15" s="7">
        <v>48040</v>
      </c>
      <c r="E15" s="7">
        <v>71010</v>
      </c>
      <c r="F15" s="7">
        <v>59129</v>
      </c>
      <c r="G15" s="7">
        <v>90492</v>
      </c>
      <c r="H15" s="7">
        <v>92490</v>
      </c>
      <c r="I15" s="7">
        <v>97412</v>
      </c>
      <c r="J15" s="7">
        <v>169484</v>
      </c>
      <c r="K15" s="7">
        <v>190779</v>
      </c>
      <c r="L15" s="7">
        <v>172802</v>
      </c>
      <c r="M15" s="7">
        <v>13496</v>
      </c>
      <c r="N15" s="7">
        <v>15706</v>
      </c>
      <c r="O15" s="7">
        <v>17298</v>
      </c>
      <c r="P15" s="7">
        <v>2047</v>
      </c>
      <c r="Q15" s="18">
        <v>154</v>
      </c>
    </row>
    <row r="16" spans="1:17" x14ac:dyDescent="0.2">
      <c r="A16" s="9" t="s">
        <v>46</v>
      </c>
      <c r="B16" s="9" t="s">
        <v>39</v>
      </c>
      <c r="C16" s="6">
        <v>65737</v>
      </c>
      <c r="D16" s="6">
        <v>77944</v>
      </c>
      <c r="E16" s="6">
        <v>73002</v>
      </c>
      <c r="F16" s="6">
        <v>71850</v>
      </c>
      <c r="G16" s="6">
        <v>78306</v>
      </c>
      <c r="H16" s="6">
        <v>79129</v>
      </c>
      <c r="I16" s="6">
        <v>87194</v>
      </c>
      <c r="J16" s="6">
        <v>97259</v>
      </c>
      <c r="K16" s="6">
        <v>115637</v>
      </c>
      <c r="L16" s="6">
        <v>128334</v>
      </c>
      <c r="M16" s="6">
        <v>66925</v>
      </c>
      <c r="N16" s="6">
        <v>79950</v>
      </c>
      <c r="O16" s="6">
        <v>97143</v>
      </c>
      <c r="P16" s="6">
        <v>122160</v>
      </c>
      <c r="Q16" s="20">
        <v>130220</v>
      </c>
    </row>
    <row r="17" spans="1:17" x14ac:dyDescent="0.2">
      <c r="A17" s="9" t="s">
        <v>46</v>
      </c>
      <c r="B17" s="9" t="s">
        <v>40</v>
      </c>
      <c r="C17" s="6">
        <v>7</v>
      </c>
      <c r="D17" s="6">
        <v>10</v>
      </c>
      <c r="E17" s="6">
        <v>14</v>
      </c>
      <c r="F17" s="6">
        <v>4</v>
      </c>
      <c r="G17" s="6">
        <v>4</v>
      </c>
      <c r="H17" s="6">
        <v>9</v>
      </c>
      <c r="I17" s="6">
        <v>33</v>
      </c>
      <c r="J17" s="6">
        <v>137</v>
      </c>
      <c r="K17" s="6">
        <v>303</v>
      </c>
      <c r="L17" s="6">
        <v>342</v>
      </c>
      <c r="M17" s="6">
        <v>843</v>
      </c>
      <c r="N17" s="6">
        <v>6603</v>
      </c>
      <c r="O17" s="6">
        <v>16067</v>
      </c>
      <c r="P17" s="6">
        <v>31758</v>
      </c>
      <c r="Q17" s="20">
        <v>28044</v>
      </c>
    </row>
    <row r="18" spans="1:17" x14ac:dyDescent="0.2">
      <c r="A18" s="9" t="s">
        <v>46</v>
      </c>
      <c r="B18" s="9" t="s">
        <v>42</v>
      </c>
      <c r="C18" s="6">
        <v>57535</v>
      </c>
      <c r="D18" s="6">
        <v>69966</v>
      </c>
      <c r="E18" s="6">
        <v>67844</v>
      </c>
      <c r="F18" s="6">
        <v>68843</v>
      </c>
      <c r="G18" s="6">
        <v>74913</v>
      </c>
      <c r="H18" s="6">
        <v>75258</v>
      </c>
      <c r="I18" s="6">
        <v>80598</v>
      </c>
      <c r="J18" s="6">
        <v>93110</v>
      </c>
      <c r="K18" s="6">
        <v>108970</v>
      </c>
      <c r="L18" s="6">
        <v>119735</v>
      </c>
      <c r="M18" s="6">
        <v>59951</v>
      </c>
      <c r="N18" s="6">
        <v>52226</v>
      </c>
      <c r="O18" s="6">
        <v>55472</v>
      </c>
      <c r="P18" s="6">
        <v>60776</v>
      </c>
      <c r="Q18" s="20">
        <v>64354</v>
      </c>
    </row>
    <row r="19" spans="1:17" x14ac:dyDescent="0.2">
      <c r="A19" s="9" t="s">
        <v>46</v>
      </c>
      <c r="B19" s="9" t="s">
        <v>44</v>
      </c>
      <c r="C19" s="6">
        <v>6835</v>
      </c>
      <c r="D19" s="6">
        <v>6280</v>
      </c>
      <c r="E19" s="6">
        <v>4034</v>
      </c>
      <c r="F19" s="6">
        <v>2321</v>
      </c>
      <c r="G19" s="6">
        <v>2671</v>
      </c>
      <c r="H19" s="6">
        <v>2972</v>
      </c>
      <c r="I19" s="6">
        <v>1155</v>
      </c>
      <c r="J19" s="6">
        <v>289</v>
      </c>
      <c r="K19" s="6">
        <v>36</v>
      </c>
      <c r="L19" s="6">
        <v>46</v>
      </c>
      <c r="M19" s="6">
        <v>5097</v>
      </c>
      <c r="N19" s="6">
        <v>18416</v>
      </c>
      <c r="O19" s="6">
        <v>22748</v>
      </c>
      <c r="P19" s="6">
        <v>28881</v>
      </c>
      <c r="Q19" s="20">
        <v>31216</v>
      </c>
    </row>
    <row r="20" spans="1:17" x14ac:dyDescent="0.2">
      <c r="A20" s="8" t="s">
        <v>9</v>
      </c>
      <c r="B20" s="8" t="s">
        <v>39</v>
      </c>
      <c r="C20" s="7">
        <v>2331579</v>
      </c>
      <c r="D20" s="7">
        <v>2543941</v>
      </c>
      <c r="E20" s="7">
        <v>2586828</v>
      </c>
      <c r="F20" s="7">
        <v>2442265</v>
      </c>
      <c r="G20" s="7">
        <v>2567999</v>
      </c>
      <c r="H20" s="7">
        <v>2698413</v>
      </c>
      <c r="I20" s="7">
        <v>2904723</v>
      </c>
      <c r="J20" s="7">
        <v>3153378</v>
      </c>
      <c r="K20" s="7">
        <v>3163364</v>
      </c>
      <c r="L20" s="7">
        <v>2955833</v>
      </c>
      <c r="M20" s="7">
        <v>2570017</v>
      </c>
      <c r="N20" s="7">
        <v>2927142</v>
      </c>
      <c r="O20" s="7">
        <v>3615501</v>
      </c>
      <c r="P20" s="7">
        <v>3920160</v>
      </c>
      <c r="Q20" s="18">
        <v>4270569</v>
      </c>
    </row>
    <row r="21" spans="1:17" x14ac:dyDescent="0.2">
      <c r="A21" s="8" t="s">
        <v>9</v>
      </c>
      <c r="B21" s="8" t="s">
        <v>40</v>
      </c>
      <c r="C21" s="7">
        <v>411</v>
      </c>
      <c r="D21" s="7">
        <v>698</v>
      </c>
      <c r="E21" s="7">
        <v>229</v>
      </c>
      <c r="F21" s="7">
        <v>451</v>
      </c>
      <c r="G21" s="7">
        <v>634</v>
      </c>
      <c r="H21" s="7">
        <v>782</v>
      </c>
      <c r="I21" s="7">
        <v>769</v>
      </c>
      <c r="J21" s="7">
        <v>1213</v>
      </c>
      <c r="K21" s="7">
        <v>1841</v>
      </c>
      <c r="L21" s="7">
        <v>3215</v>
      </c>
      <c r="M21" s="7">
        <v>5901</v>
      </c>
      <c r="N21" s="7">
        <v>21194</v>
      </c>
      <c r="O21" s="7">
        <v>54471</v>
      </c>
      <c r="P21" s="7">
        <v>99719</v>
      </c>
      <c r="Q21" s="18">
        <v>115315</v>
      </c>
    </row>
    <row r="22" spans="1:17" x14ac:dyDescent="0.2">
      <c r="A22" s="8" t="s">
        <v>9</v>
      </c>
      <c r="B22" s="8" t="s">
        <v>42</v>
      </c>
      <c r="C22" s="7">
        <v>875334</v>
      </c>
      <c r="D22" s="7">
        <v>1170069</v>
      </c>
      <c r="E22" s="7">
        <v>1446377</v>
      </c>
      <c r="F22" s="7">
        <v>1317928</v>
      </c>
      <c r="G22" s="7">
        <v>1255374</v>
      </c>
      <c r="H22" s="7">
        <v>1208750</v>
      </c>
      <c r="I22" s="7">
        <v>1170548</v>
      </c>
      <c r="J22" s="7">
        <v>1197222</v>
      </c>
      <c r="K22" s="7">
        <v>1112986</v>
      </c>
      <c r="L22" s="7">
        <v>943765</v>
      </c>
      <c r="M22" s="7">
        <v>430733</v>
      </c>
      <c r="N22" s="7">
        <v>546141</v>
      </c>
      <c r="O22" s="7">
        <v>686796</v>
      </c>
      <c r="P22" s="7">
        <v>700828</v>
      </c>
      <c r="Q22" s="18">
        <v>745155</v>
      </c>
    </row>
    <row r="23" spans="1:17" x14ac:dyDescent="0.2">
      <c r="A23" s="8" t="s">
        <v>9</v>
      </c>
      <c r="B23" s="8" t="s">
        <v>41</v>
      </c>
      <c r="C23" s="7">
        <v>1185924</v>
      </c>
      <c r="D23" s="7">
        <v>1097594</v>
      </c>
      <c r="E23" s="7">
        <v>923852</v>
      </c>
      <c r="F23" s="7">
        <v>946996</v>
      </c>
      <c r="G23" s="7">
        <v>1107683</v>
      </c>
      <c r="H23" s="7">
        <v>1270333</v>
      </c>
      <c r="I23" s="7">
        <v>1447845</v>
      </c>
      <c r="J23" s="7">
        <v>1657014</v>
      </c>
      <c r="K23" s="7">
        <v>1681582</v>
      </c>
      <c r="L23" s="7">
        <v>1662092</v>
      </c>
      <c r="M23" s="7">
        <v>1809794</v>
      </c>
      <c r="N23" s="7">
        <v>1956719</v>
      </c>
      <c r="O23" s="7">
        <v>2192892</v>
      </c>
      <c r="P23" s="7">
        <v>2204186</v>
      </c>
      <c r="Q23" s="18">
        <v>2106040</v>
      </c>
    </row>
    <row r="24" spans="1:17" x14ac:dyDescent="0.2">
      <c r="A24" s="9" t="s">
        <v>14</v>
      </c>
      <c r="B24" s="9" t="s">
        <v>39</v>
      </c>
      <c r="C24" s="6">
        <v>109281</v>
      </c>
      <c r="D24" s="6">
        <v>114306</v>
      </c>
      <c r="E24" s="6">
        <v>122343</v>
      </c>
      <c r="F24" s="6">
        <v>116353</v>
      </c>
      <c r="G24" s="6">
        <v>106094</v>
      </c>
      <c r="H24" s="6">
        <v>113448</v>
      </c>
      <c r="I24" s="6">
        <v>121171</v>
      </c>
      <c r="J24" s="6">
        <v>105845</v>
      </c>
      <c r="K24" s="6">
        <v>106989</v>
      </c>
      <c r="L24" s="6">
        <v>110007</v>
      </c>
      <c r="M24" s="6">
        <v>16028</v>
      </c>
      <c r="N24" s="6">
        <v>20893</v>
      </c>
      <c r="O24" s="6">
        <v>56171</v>
      </c>
      <c r="P24" s="6">
        <v>91259</v>
      </c>
      <c r="Q24" s="20">
        <v>114542</v>
      </c>
    </row>
    <row r="25" spans="1:17" x14ac:dyDescent="0.2">
      <c r="A25" s="9" t="s">
        <v>14</v>
      </c>
      <c r="B25" s="9" t="s">
        <v>40</v>
      </c>
      <c r="C25" s="6">
        <v>2</v>
      </c>
      <c r="D25" s="6">
        <v>4</v>
      </c>
      <c r="E25" s="6">
        <v>1</v>
      </c>
      <c r="F25" s="6">
        <v>2</v>
      </c>
      <c r="G25" s="6">
        <v>3</v>
      </c>
      <c r="H25" s="6">
        <v>4</v>
      </c>
      <c r="I25" s="6">
        <v>4</v>
      </c>
      <c r="J25" s="6">
        <v>41</v>
      </c>
      <c r="K25" s="6">
        <v>146</v>
      </c>
      <c r="L25" s="6">
        <v>492</v>
      </c>
      <c r="M25" s="6">
        <v>380</v>
      </c>
      <c r="N25" s="6">
        <v>1194</v>
      </c>
      <c r="O25" s="6">
        <v>2008</v>
      </c>
      <c r="P25" s="6">
        <v>3733</v>
      </c>
      <c r="Q25" s="20">
        <v>3393</v>
      </c>
    </row>
    <row r="26" spans="1:17" x14ac:dyDescent="0.2">
      <c r="A26" s="9" t="s">
        <v>14</v>
      </c>
      <c r="B26" s="9" t="s">
        <v>42</v>
      </c>
      <c r="C26" s="6">
        <v>90256</v>
      </c>
      <c r="D26" s="6">
        <v>98022</v>
      </c>
      <c r="E26" s="6">
        <v>107921</v>
      </c>
      <c r="F26" s="6">
        <v>101094</v>
      </c>
      <c r="G26" s="6">
        <v>87589</v>
      </c>
      <c r="H26" s="6">
        <v>95320</v>
      </c>
      <c r="I26" s="6">
        <v>102217</v>
      </c>
      <c r="J26" s="6">
        <v>87460</v>
      </c>
      <c r="K26" s="6">
        <v>90947</v>
      </c>
      <c r="L26" s="6">
        <v>100426</v>
      </c>
      <c r="M26" s="6">
        <v>14353</v>
      </c>
      <c r="N26" s="6">
        <v>17808</v>
      </c>
      <c r="O26" s="6">
        <v>48010</v>
      </c>
      <c r="P26" s="6">
        <v>78361</v>
      </c>
      <c r="Q26" s="20">
        <v>93005</v>
      </c>
    </row>
    <row r="27" spans="1:17" x14ac:dyDescent="0.2">
      <c r="A27" s="8" t="s">
        <v>52</v>
      </c>
      <c r="B27" s="8" t="s">
        <v>39</v>
      </c>
      <c r="C27" s="7">
        <v>312051</v>
      </c>
      <c r="D27" s="7">
        <v>381889</v>
      </c>
      <c r="E27" s="7">
        <v>441451</v>
      </c>
      <c r="F27" s="7">
        <v>399208</v>
      </c>
      <c r="G27" s="7">
        <v>349090</v>
      </c>
      <c r="H27" s="7">
        <v>338607</v>
      </c>
      <c r="I27" s="7">
        <v>351954</v>
      </c>
      <c r="J27" s="7">
        <v>422079</v>
      </c>
      <c r="K27" s="7">
        <v>520047</v>
      </c>
      <c r="L27" s="7">
        <v>574797</v>
      </c>
      <c r="M27" s="7">
        <v>346375</v>
      </c>
      <c r="N27" s="7">
        <v>440516</v>
      </c>
      <c r="O27" s="7">
        <v>559798</v>
      </c>
      <c r="P27" s="7">
        <v>536247</v>
      </c>
      <c r="Q27" s="22">
        <v>527772.41999999993</v>
      </c>
    </row>
    <row r="28" spans="1:17" x14ac:dyDescent="0.2">
      <c r="A28" s="8" t="s">
        <v>52</v>
      </c>
      <c r="B28" s="8" t="s">
        <v>40</v>
      </c>
      <c r="C28" s="7">
        <v>24</v>
      </c>
      <c r="D28" s="7">
        <v>24</v>
      </c>
      <c r="E28" s="7">
        <v>28</v>
      </c>
      <c r="F28" s="7">
        <v>37</v>
      </c>
      <c r="G28" s="7">
        <v>14</v>
      </c>
      <c r="H28" s="7">
        <v>14</v>
      </c>
      <c r="I28" s="7">
        <v>108</v>
      </c>
      <c r="J28" s="7">
        <v>661</v>
      </c>
      <c r="K28" s="7">
        <v>478</v>
      </c>
      <c r="L28" s="7">
        <v>43</v>
      </c>
      <c r="M28" s="7">
        <v>31</v>
      </c>
      <c r="N28" s="7">
        <v>1021</v>
      </c>
      <c r="O28" s="7">
        <v>453</v>
      </c>
      <c r="P28" s="7">
        <v>4626</v>
      </c>
      <c r="Q28" s="18">
        <v>5617</v>
      </c>
    </row>
    <row r="29" spans="1:17" x14ac:dyDescent="0.2">
      <c r="A29" s="8" t="s">
        <v>52</v>
      </c>
      <c r="B29" s="8" t="s">
        <v>42</v>
      </c>
      <c r="C29" s="7">
        <v>299014</v>
      </c>
      <c r="D29" s="7">
        <v>381889</v>
      </c>
      <c r="E29" s="7">
        <v>429138</v>
      </c>
      <c r="F29" s="7">
        <v>386878</v>
      </c>
      <c r="G29" s="7">
        <v>334249</v>
      </c>
      <c r="H29" s="7">
        <v>322987</v>
      </c>
      <c r="I29" s="7">
        <v>335900</v>
      </c>
      <c r="J29" s="7">
        <v>403787</v>
      </c>
      <c r="K29" s="7">
        <v>494658</v>
      </c>
      <c r="L29" s="7">
        <v>509290</v>
      </c>
      <c r="M29" s="7">
        <v>265485</v>
      </c>
      <c r="N29" s="7">
        <v>287321</v>
      </c>
      <c r="O29" s="7">
        <v>395725</v>
      </c>
      <c r="P29" s="7">
        <v>383532</v>
      </c>
      <c r="Q29" s="18">
        <v>443672</v>
      </c>
    </row>
    <row r="30" spans="1:17" x14ac:dyDescent="0.2">
      <c r="A30" s="9" t="s">
        <v>53</v>
      </c>
      <c r="B30" s="9" t="s">
        <v>39</v>
      </c>
      <c r="C30" s="6">
        <v>48631</v>
      </c>
      <c r="D30" s="6">
        <v>44279</v>
      </c>
      <c r="E30" s="6">
        <v>35305</v>
      </c>
      <c r="F30" s="6">
        <v>25869</v>
      </c>
      <c r="G30" s="6">
        <v>22096</v>
      </c>
      <c r="H30" s="6">
        <v>24732</v>
      </c>
      <c r="I30" s="6">
        <v>29296</v>
      </c>
      <c r="J30" s="6">
        <v>27288</v>
      </c>
      <c r="K30" s="6">
        <v>37692</v>
      </c>
      <c r="L30" s="6">
        <v>39669</v>
      </c>
      <c r="M30" s="6">
        <v>21924</v>
      </c>
      <c r="N30" s="6">
        <v>37199</v>
      </c>
      <c r="O30" s="6">
        <v>37537</v>
      </c>
      <c r="P30" s="6">
        <v>42012</v>
      </c>
      <c r="Q30" s="20">
        <v>39560</v>
      </c>
    </row>
    <row r="31" spans="1:17" x14ac:dyDescent="0.2">
      <c r="A31" s="9" t="s">
        <v>53</v>
      </c>
      <c r="B31" s="9" t="s">
        <v>40</v>
      </c>
      <c r="C31" s="6">
        <v>0</v>
      </c>
      <c r="D31" s="6">
        <v>1</v>
      </c>
      <c r="E31" s="6">
        <v>1</v>
      </c>
      <c r="F31" s="6">
        <v>1</v>
      </c>
      <c r="G31" s="6">
        <v>0</v>
      </c>
      <c r="H31" s="6">
        <v>0</v>
      </c>
      <c r="I31" s="6">
        <v>0</v>
      </c>
      <c r="J31" s="6">
        <v>1</v>
      </c>
      <c r="K31" s="6">
        <v>1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20">
        <v>0</v>
      </c>
    </row>
    <row r="32" spans="1:17" x14ac:dyDescent="0.2">
      <c r="A32" s="9" t="s">
        <v>53</v>
      </c>
      <c r="B32" s="9" t="s">
        <v>42</v>
      </c>
      <c r="C32" s="6">
        <v>48147</v>
      </c>
      <c r="D32" s="6">
        <v>43776</v>
      </c>
      <c r="E32" s="6">
        <v>34990</v>
      </c>
      <c r="F32" s="6">
        <v>25540</v>
      </c>
      <c r="G32" s="6">
        <v>21893</v>
      </c>
      <c r="H32" s="6">
        <v>24493</v>
      </c>
      <c r="I32" s="6">
        <v>28347</v>
      </c>
      <c r="J32" s="6">
        <v>25008</v>
      </c>
      <c r="K32" s="6">
        <v>33528</v>
      </c>
      <c r="L32" s="6">
        <v>31885</v>
      </c>
      <c r="M32" s="6">
        <v>20357</v>
      </c>
      <c r="N32" s="6">
        <v>21324</v>
      </c>
      <c r="O32" s="6">
        <v>27980</v>
      </c>
      <c r="P32" s="6">
        <v>32566</v>
      </c>
      <c r="Q32" s="23">
        <v>33892</v>
      </c>
    </row>
    <row r="33" spans="1:17" x14ac:dyDescent="0.2">
      <c r="A33" s="8" t="s">
        <v>54</v>
      </c>
      <c r="B33" s="8" t="s">
        <v>39</v>
      </c>
      <c r="C33" s="7">
        <v>234711</v>
      </c>
      <c r="D33" s="7">
        <v>254584</v>
      </c>
      <c r="E33" s="7">
        <v>205544</v>
      </c>
      <c r="F33" s="7">
        <v>158096</v>
      </c>
      <c r="G33" s="7">
        <v>173045</v>
      </c>
      <c r="H33" s="7">
        <v>221749</v>
      </c>
      <c r="I33" s="7">
        <v>233720</v>
      </c>
      <c r="J33" s="7">
        <v>244388</v>
      </c>
      <c r="K33" s="7">
        <v>293107</v>
      </c>
      <c r="L33" s="7">
        <v>215830</v>
      </c>
      <c r="M33" s="7">
        <v>87207</v>
      </c>
      <c r="N33" s="7">
        <v>171458</v>
      </c>
      <c r="O33" s="7">
        <v>250559</v>
      </c>
      <c r="P33" s="7">
        <v>258696</v>
      </c>
      <c r="Q33" s="18">
        <v>235991</v>
      </c>
    </row>
    <row r="34" spans="1:17" x14ac:dyDescent="0.2">
      <c r="A34" s="8" t="s">
        <v>54</v>
      </c>
      <c r="B34" s="8" t="s">
        <v>40</v>
      </c>
      <c r="C34" s="7">
        <v>7</v>
      </c>
      <c r="D34" s="7">
        <v>10</v>
      </c>
      <c r="E34" s="7">
        <v>11</v>
      </c>
      <c r="F34" s="7">
        <v>10</v>
      </c>
      <c r="G34" s="7">
        <v>5</v>
      </c>
      <c r="H34" s="7">
        <v>5</v>
      </c>
      <c r="I34" s="7">
        <v>3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183</v>
      </c>
      <c r="P34" s="7">
        <v>276</v>
      </c>
      <c r="Q34" s="18">
        <v>127</v>
      </c>
    </row>
    <row r="35" spans="1:17" x14ac:dyDescent="0.2">
      <c r="A35" s="8" t="s">
        <v>54</v>
      </c>
      <c r="B35" s="8" t="s">
        <v>42</v>
      </c>
      <c r="C35" s="7">
        <v>233267</v>
      </c>
      <c r="D35" s="7">
        <v>252254</v>
      </c>
      <c r="E35" s="7">
        <v>200494</v>
      </c>
      <c r="F35" s="7">
        <v>156228</v>
      </c>
      <c r="G35" s="7">
        <v>171624</v>
      </c>
      <c r="H35" s="7">
        <v>220015</v>
      </c>
      <c r="I35" s="7">
        <v>232306</v>
      </c>
      <c r="J35" s="7">
        <v>243395</v>
      </c>
      <c r="K35" s="7">
        <v>292440</v>
      </c>
      <c r="L35" s="7">
        <v>210498</v>
      </c>
      <c r="M35" s="7">
        <v>82316</v>
      </c>
      <c r="N35" s="7">
        <v>155788</v>
      </c>
      <c r="O35" s="7">
        <v>236679</v>
      </c>
      <c r="P35" s="7">
        <v>248201</v>
      </c>
      <c r="Q35" s="24">
        <v>226551</v>
      </c>
    </row>
    <row r="36" spans="1:17" x14ac:dyDescent="0.2">
      <c r="A36" s="9" t="s">
        <v>22</v>
      </c>
      <c r="B36" s="9" t="s">
        <v>39</v>
      </c>
      <c r="C36" s="6">
        <v>529752</v>
      </c>
      <c r="D36" s="6">
        <v>621360</v>
      </c>
      <c r="E36" s="6">
        <v>652197</v>
      </c>
      <c r="F36" s="6">
        <v>716885</v>
      </c>
      <c r="G36" s="6">
        <v>747768</v>
      </c>
      <c r="H36" s="6">
        <v>668482</v>
      </c>
      <c r="I36" s="6">
        <v>723882</v>
      </c>
      <c r="J36" s="6">
        <v>826635</v>
      </c>
      <c r="K36" s="6">
        <v>943157</v>
      </c>
      <c r="L36" s="6">
        <v>874245</v>
      </c>
      <c r="M36" s="6">
        <v>963040</v>
      </c>
      <c r="N36" s="6">
        <v>947666</v>
      </c>
      <c r="O36" s="6">
        <v>1039272</v>
      </c>
      <c r="P36" s="6">
        <v>1133864</v>
      </c>
      <c r="Q36" s="20">
        <v>1118234</v>
      </c>
    </row>
    <row r="37" spans="1:17" x14ac:dyDescent="0.2">
      <c r="A37" s="9" t="s">
        <v>22</v>
      </c>
      <c r="B37" s="9" t="s">
        <v>40</v>
      </c>
      <c r="C37" s="6">
        <v>358</v>
      </c>
      <c r="D37" s="6">
        <v>223</v>
      </c>
      <c r="E37" s="6">
        <v>263</v>
      </c>
      <c r="F37" s="6">
        <v>205</v>
      </c>
      <c r="G37" s="6">
        <v>163</v>
      </c>
      <c r="H37" s="6">
        <v>162</v>
      </c>
      <c r="I37" s="6">
        <v>481</v>
      </c>
      <c r="J37" s="6">
        <v>556</v>
      </c>
      <c r="K37" s="6">
        <v>289</v>
      </c>
      <c r="L37" s="6">
        <v>29</v>
      </c>
      <c r="M37" s="6">
        <v>35</v>
      </c>
      <c r="N37" s="6">
        <v>99</v>
      </c>
      <c r="O37" s="6">
        <v>100</v>
      </c>
      <c r="P37" s="6">
        <v>246</v>
      </c>
      <c r="Q37" s="20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</vt:lpstr>
      <vt:lpstr>FY2011-2025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Ridhi Palia</dc:creator>
  <cp:lastModifiedBy>Jacob Teter</cp:lastModifiedBy>
  <dcterms:created xsi:type="dcterms:W3CDTF">2026-01-10T06:12:56Z</dcterms:created>
  <dcterms:modified xsi:type="dcterms:W3CDTF">2026-01-26T13:56:27Z</dcterms:modified>
</cp:coreProperties>
</file>